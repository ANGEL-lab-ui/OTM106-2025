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PTT\Documents\"/>
    </mc:Choice>
  </mc:AlternateContent>
  <xr:revisionPtr revIDLastSave="0" documentId="8_{78FBD961-60BC-42C3-923E-83668D692351}" xr6:coauthVersionLast="47" xr6:coauthVersionMax="47" xr10:uidLastSave="{00000000-0000-0000-0000-000000000000}"/>
  <bookViews>
    <workbookView xWindow="-120" yWindow="-120" windowWidth="20730" windowHeight="11040" xr2:uid="{09F36708-E340-4573-A89D-990A961498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F7" i="1"/>
  <c r="G2" i="1" a="1"/>
  <c r="G2" i="1" s="1"/>
  <c r="F2" i="1" a="1"/>
  <c r="F2" i="1" s="1"/>
  <c r="D3" i="1"/>
  <c r="D4" i="1"/>
  <c r="D5" i="1"/>
  <c r="D6" i="1"/>
  <c r="D2" i="1"/>
  <c r="A4" i="1"/>
  <c r="A5" i="1" s="1"/>
  <c r="A6" i="1" s="1"/>
  <c r="A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<sst xmlns="http://schemas.openxmlformats.org/spreadsheetml/2006/main" count="20" uniqueCount="15">
  <si>
    <t>NUMERO</t>
  </si>
  <si>
    <t xml:space="preserve">NOMBRE </t>
  </si>
  <si>
    <t>FECHA DE NACIMIENTO</t>
  </si>
  <si>
    <t>EDAD</t>
  </si>
  <si>
    <t xml:space="preserve">GENERO </t>
  </si>
  <si>
    <t>F</t>
  </si>
  <si>
    <t>M</t>
  </si>
  <si>
    <t xml:space="preserve">JOSE </t>
  </si>
  <si>
    <t xml:space="preserve">FERNANDA </t>
  </si>
  <si>
    <t>MICHAEL</t>
  </si>
  <si>
    <t xml:space="preserve">CARLOS </t>
  </si>
  <si>
    <t>JUAN</t>
  </si>
  <si>
    <t>TOTAL M</t>
  </si>
  <si>
    <t>TOTAL 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</si>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</sst>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655B3-E020-4030-8E72-53886350A9EA}">
  <dimension ref="A1:G9"/>
  <sheetViews>
    <sheetView tabSelected="1" workbookViewId="0">
      <selection activeCell="G7" sqref="G7"/>
    </sheetView>
  </sheetViews>
  <sheetFormatPr baseColWidth="10" defaultRowHeight="15" x14ac:dyDescent="0.25"/>
  <cols>
    <col min="1" max="1" width="9" bestFit="1" customWidth="1"/>
    <col min="2" max="2" width="11.28515625" bestFit="1" customWidth="1"/>
    <col min="3" max="3" width="21.7109375" bestFit="1" customWidth="1"/>
    <col min="4" max="4" width="9.7109375" bestFit="1" customWidth="1"/>
    <col min="5" max="5" width="8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s="1">
        <v>40955</v>
      </c>
      <c r="D2" s="2">
        <f ca="1">(TODAY()-C2)/365</f>
        <v>13.210958904109589</v>
      </c>
      <c r="E2" t="s">
        <v>6</v>
      </c>
      <c r="F2" cm="1">
        <f t="array" ref="F2:F6">IF(E2:E6="F",1,0)</f>
        <v>0</v>
      </c>
      <c r="G2" cm="1">
        <f t="array" ref="G2:G6">IF(E2:E6="M",1,0)</f>
        <v>1</v>
      </c>
    </row>
    <row r="3" spans="1:7" x14ac:dyDescent="0.25">
      <c r="A3">
        <f>SUM(A2+1)</f>
        <v>2</v>
      </c>
      <c r="B3" t="s">
        <v>8</v>
      </c>
      <c r="C3" s="1">
        <v>39100</v>
      </c>
      <c r="D3" s="2">
        <f t="shared" ref="D3:D6" ca="1" si="0">(TODAY()-C3)/365</f>
        <v>18.293150684931508</v>
      </c>
      <c r="E3" t="s">
        <v>5</v>
      </c>
      <c r="F3">
        <v>1</v>
      </c>
      <c r="G3">
        <v>0</v>
      </c>
    </row>
    <row r="4" spans="1:7" x14ac:dyDescent="0.25">
      <c r="A4">
        <f t="shared" ref="A4:A6" si="1">SUM(A3+1)</f>
        <v>3</v>
      </c>
      <c r="B4" t="s">
        <v>9</v>
      </c>
      <c r="C4" s="1">
        <v>36910</v>
      </c>
      <c r="D4" s="2">
        <f t="shared" ca="1" si="0"/>
        <v>24.293150684931508</v>
      </c>
      <c r="E4" t="s">
        <v>6</v>
      </c>
      <c r="F4">
        <v>0</v>
      </c>
      <c r="G4">
        <v>1</v>
      </c>
    </row>
    <row r="5" spans="1:7" x14ac:dyDescent="0.25">
      <c r="A5">
        <f t="shared" si="1"/>
        <v>4</v>
      </c>
      <c r="B5" t="s">
        <v>10</v>
      </c>
      <c r="C5" s="1">
        <v>36763</v>
      </c>
      <c r="D5" s="2">
        <f t="shared" ca="1" si="0"/>
        <v>24.695890410958903</v>
      </c>
      <c r="E5" t="s">
        <v>6</v>
      </c>
      <c r="F5">
        <v>0</v>
      </c>
      <c r="G5">
        <v>1</v>
      </c>
    </row>
    <row r="6" spans="1:7" x14ac:dyDescent="0.25">
      <c r="A6">
        <f t="shared" si="1"/>
        <v>5</v>
      </c>
      <c r="B6" t="s">
        <v>11</v>
      </c>
      <c r="C6" s="1">
        <v>36501</v>
      </c>
      <c r="D6" s="2">
        <f t="shared" ca="1" si="0"/>
        <v>25.413698630136988</v>
      </c>
      <c r="E6" t="s">
        <v>6</v>
      </c>
      <c r="F6">
        <v>0</v>
      </c>
      <c r="G6">
        <v>1</v>
      </c>
    </row>
    <row r="7" spans="1:7" x14ac:dyDescent="0.25">
      <c r="E7" t="s">
        <v>12</v>
      </c>
      <c r="F7">
        <f>COUNTIF(E2:E6,"M")</f>
        <v>4</v>
      </c>
    </row>
    <row r="8" spans="1:7" x14ac:dyDescent="0.25">
      <c r="E8" t="s">
        <v>13</v>
      </c>
      <c r="F8">
        <f>COUNTIF(E2:E6,"F")</f>
        <v>1</v>
      </c>
    </row>
    <row r="9" spans="1:7" x14ac:dyDescent="0.25">
      <c r="E9" t="s">
        <v>14</v>
      </c>
      <c r="F9">
        <f>F7+F8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HPTT</dc:creator>
  <cp:lastModifiedBy>HPTT</cp:lastModifiedBy>
  <dcterms:created xsi:type="dcterms:W3CDTF">2025-04-30T17:52:17Z</dcterms:created>
  <dcterms:modified xsi:type="dcterms:W3CDTF">2025-04-30T18:30:15Z</dcterms:modified>
</cp:coreProperties>
</file>